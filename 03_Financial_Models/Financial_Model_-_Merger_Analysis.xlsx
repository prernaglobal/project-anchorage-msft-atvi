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nsaction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<sst xmlns="http://schemas.openxmlformats.org/spreadsheetml/2006/main" count="63" uniqueCount="60">
  <si>
    <t xml:space="preserve">Precedent Transaction Analysis — Activision Blizzard, Inc.</t>
  </si>
  <si>
    <t xml:space="preserve">Purpose</t>
  </si>
  <si>
    <t xml:space="preserve">Selected precedent M&amp;A transactions in the interactive entertainment sector, used to benchmark the implied multiples paid by Microsoft for Activision Blizzard.</t>
  </si>
  <si>
    <t xml:space="preserve">Tabs</t>
  </si>
  <si>
    <t xml:space="preserve">Transactions</t>
  </si>
  <si>
    <t xml:space="preserve">Deal list with target financials at announcement and implied multiples (formula-linked)</t>
  </si>
  <si>
    <t xml:space="preserve">Summary</t>
  </si>
  <si>
    <t xml:space="preserve">Median/mean multiples and implied valuation range for ATVI</t>
  </si>
  <si>
    <t xml:space="preserve">Color Legend</t>
  </si>
  <si>
    <t xml:space="preserve">Blue text</t>
  </si>
  <si>
    <t xml:space="preserve">Hardcoded input — edit here</t>
  </si>
  <si>
    <t xml:space="preserve">Black text</t>
  </si>
  <si>
    <t xml:space="preserve">Formula — do not hardcode</t>
  </si>
  <si>
    <t xml:space="preserve">Sources</t>
  </si>
  <si>
    <t xml:space="preserve">Deal values are publicly disclosed headline figures. Target revenue/EBITDA at announcement are illustrative, approximate estimates for transactions where not separately disclosed by the parties; treat implied multiples for those deals as directional only.</t>
  </si>
  <si>
    <t xml:space="preserve">Precedent Transaction Analysis</t>
  </si>
  <si>
    <t xml:space="preserve">Date</t>
  </si>
  <si>
    <t xml:space="preserve">Acquirer</t>
  </si>
  <si>
    <t xml:space="preserve">Target</t>
  </si>
  <si>
    <t xml:space="preserve">Deal Value ($mn)</t>
  </si>
  <si>
    <t xml:space="preserve">Target Revenue ($mn)</t>
  </si>
  <si>
    <t xml:space="preserve">Target EBITDA ($mn)</t>
  </si>
  <si>
    <t xml:space="preserve">EV / Revenue</t>
  </si>
  <si>
    <t xml:space="preserve">EV / EBITDA</t>
  </si>
  <si>
    <t xml:space="preserve">Sept. 2020</t>
  </si>
  <si>
    <t xml:space="preserve">Microsoft</t>
  </si>
  <si>
    <t xml:space="preserve">ZeniMax Media (Bethesda Softworks)</t>
  </si>
  <si>
    <t xml:space="preserve">Jan. 2022</t>
  </si>
  <si>
    <t xml:space="preserve">Take-Two Interactive</t>
  </si>
  <si>
    <t xml:space="preserve">Zynga</t>
  </si>
  <si>
    <t xml:space="preserve">Sony Interactive Entertainment</t>
  </si>
  <si>
    <t xml:space="preserve">Bungie</t>
  </si>
  <si>
    <t xml:space="preserve">May 2022</t>
  </si>
  <si>
    <t xml:space="preserve">Embracer Group</t>
  </si>
  <si>
    <t xml:space="preserve">Square Enix Western Studios</t>
  </si>
  <si>
    <t xml:space="preserve">2023</t>
  </si>
  <si>
    <t xml:space="preserve">Savvy Games Group (Saudi PIF)</t>
  </si>
  <si>
    <t xml:space="preserve">Scopely</t>
  </si>
  <si>
    <t xml:space="preserve">Activision Blizzard</t>
  </si>
  <si>
    <t xml:space="preserve">Median (excl. Microsoft/ATVI)</t>
  </si>
  <si>
    <t xml:space="preserve">Mean (excl. Microsoft/ATVI)</t>
  </si>
  <si>
    <t xml:space="preserve">Implied Valuation — Applying Precedent Transaction Multiples</t>
  </si>
  <si>
    <t xml:space="preserve">ATVI FY2021 Financials (Source: ATVI 10-K)</t>
  </si>
  <si>
    <t xml:space="preserve">Net revenue ($mn)</t>
  </si>
  <si>
    <t xml:space="preserve">EBITDA ($mn)</t>
  </si>
  <si>
    <t xml:space="preserve">Net cash ($mn)</t>
  </si>
  <si>
    <t xml:space="preserve">Diluted shares outstanding (mn)</t>
  </si>
  <si>
    <t xml:space="preserve">Implied Value Per Share by Methodology</t>
  </si>
  <si>
    <t xml:space="preserve">Methodology</t>
  </si>
  <si>
    <t xml:space="preserve">Low Multiple</t>
  </si>
  <si>
    <t xml:space="preserve">High Multiple</t>
  </si>
  <si>
    <t xml:space="preserve">Implied EV Low</t>
  </si>
  <si>
    <t xml:space="preserve">Implied EV High</t>
  </si>
  <si>
    <t xml:space="preserve">Value / Share ($)</t>
  </si>
  <si>
    <t xml:space="preserve">EV / Revenue (precedent range)</t>
  </si>
  <si>
    <t xml:space="preserve">EV / EBITDA (precedent range)</t>
  </si>
  <si>
    <t xml:space="preserve">Microsoft offer price</t>
  </si>
  <si>
    <t xml:space="preserve">Actual implied multiples paid (Microsoft / ATVI)</t>
  </si>
  <si>
    <t xml:space="preserve">EV / Revenue paid</t>
  </si>
  <si>
    <t xml:space="preserve">EV / EBITDA paid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</si>
</sst>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;&quot;($&quot;#,##0.0\);\-"/>
    <numFmt numFmtId="166" formatCode="0.0\x"/>
    <numFmt numFmtId="167" formatCode="#,##0"/>
    <numFmt numFmtId="168" formatCode="\$#,##0.00;&quot;($&quot;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0A2342"/>
      <name val="Arial"/>
      <family val="0"/>
      <charset val="1"/>
    </font>
    <font>
      <sz val="10.5"/>
      <color rgb="FF000000"/>
      <name val="Arial"/>
      <family val="0"/>
      <charset val="1"/>
    </font>
    <font>
      <b val="true"/>
      <sz val="10.5"/>
      <color rgb="FF2F80ED"/>
      <name val="Arial"/>
      <family val="0"/>
      <charset val="1"/>
    </font>
    <font>
      <b val="true"/>
      <sz val="10.5"/>
      <color rgb="FF0000FF"/>
      <name val="Arial"/>
      <family val="0"/>
      <charset val="1"/>
    </font>
    <font>
      <b val="true"/>
      <sz val="10.5"/>
      <color rgb="FF000000"/>
      <name val="Arial"/>
      <family val="0"/>
      <charset val="1"/>
    </font>
    <font>
      <i val="true"/>
      <sz val="9.5"/>
      <color rgb="FF666666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10.5"/>
      <color rgb="FF0000FF"/>
      <name val="Arial"/>
      <family val="0"/>
      <charset val="1"/>
    </font>
    <font>
      <b val="true"/>
      <sz val="10.5"/>
      <color rgb="FF0A2342"/>
      <name val="Arial"/>
      <family val="0"/>
      <charset val="1"/>
    </font>
    <font>
      <b val="true"/>
      <sz val="11"/>
      <color rgb="FF0A234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2342"/>
        <bgColor rgb="FF003300"/>
      </patternFill>
    </fill>
    <fill>
      <patternFill patternType="solid">
        <fgColor rgb="FFF3F5F7"/>
        <bgColor rgb="FFFFFFFF"/>
      </patternFill>
    </fill>
    <fill>
      <patternFill patternType="solid">
        <fgColor rgb="FF2F80ED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3F5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80ED"/>
      <rgbColor rgb="FF33CCCC"/>
      <rgbColor rgb="FF99CC00"/>
      <rgbColor rgb="FFFFCC00"/>
      <rgbColor rgb="FFFF9900"/>
      <rgbColor rgb="FFFF6600"/>
      <rgbColor rgb="FF666666"/>
      <rgbColor rgb="FF969696"/>
      <rgbColor rgb="FF0A234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3" t="s">
        <v>1</v>
      </c>
    </row>
    <row r="4" customFormat="false" ht="30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5" t="s">
        <v>4</v>
      </c>
      <c r="B7" s="6" t="s">
        <v>5</v>
      </c>
    </row>
    <row r="8" customFormat="false" ht="15" hidden="false" customHeight="false" outlineLevel="0" collapsed="false">
      <c r="A8" s="5" t="s">
        <v>6</v>
      </c>
      <c r="B8" s="6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7" t="s">
        <v>9</v>
      </c>
      <c r="B11" s="6" t="s">
        <v>10</v>
      </c>
    </row>
    <row r="12" customFormat="false" ht="15" hidden="false" customHeight="false" outlineLevel="0" collapsed="false">
      <c r="A12" s="8" t="s">
        <v>11</v>
      </c>
      <c r="B12" s="6" t="s">
        <v>12</v>
      </c>
    </row>
    <row r="14" customFormat="false" ht="15" hidden="false" customHeight="false" outlineLevel="0" collapsed="false">
      <c r="A14" s="3" t="s">
        <v>13</v>
      </c>
    </row>
    <row r="15" customFormat="false" ht="45" hidden="false" customHeight="true" outlineLevel="0" collapsed="false">
      <c r="A15" s="9" t="s">
        <v>14</v>
      </c>
      <c r="B15" s="9"/>
      <c r="C15" s="9"/>
      <c r="D15" s="9"/>
      <c r="E15" s="9"/>
      <c r="F15" s="9"/>
      <c r="G15" s="9"/>
      <c r="H15" s="9"/>
    </row>
  </sheetData>
  <mergeCells count="3">
    <mergeCell ref="A1:H1"/>
    <mergeCell ref="A4:H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15"/>
    <col collapsed="false" customWidth="true" hidden="false" outlineLevel="0" max="6" min="5" style="1" width="16"/>
    <col collapsed="false" customWidth="true" hidden="false" outlineLevel="0" max="8" min="7" style="1" width="12"/>
  </cols>
  <sheetData>
    <row r="1" customFormat="false" ht="31.5" hidden="false" customHeight="true" outlineLevel="0" collapsed="false">
      <c r="A1" s="2" t="s">
        <v>15</v>
      </c>
      <c r="B1" s="2"/>
      <c r="C1" s="2"/>
      <c r="D1" s="2"/>
      <c r="E1" s="2"/>
      <c r="F1" s="2"/>
      <c r="G1" s="2"/>
      <c r="H1" s="2"/>
    </row>
    <row r="3" customFormat="false" ht="27.75" hidden="false" customHeight="true" outlineLevel="0" collapsed="false">
      <c r="A3" s="10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  <c r="H3" s="10" t="s">
        <v>23</v>
      </c>
    </row>
    <row r="4" customFormat="false" ht="15" hidden="false" customHeight="false" outlineLevel="0" collapsed="false">
      <c r="A4" s="11" t="s">
        <v>24</v>
      </c>
      <c r="B4" s="11" t="s">
        <v>25</v>
      </c>
      <c r="C4" s="11" t="s">
        <v>26</v>
      </c>
      <c r="D4" s="12" t="n">
        <v>7500</v>
      </c>
      <c r="E4" s="12" t="n">
        <v>1150</v>
      </c>
      <c r="F4" s="12" t="n">
        <v>340</v>
      </c>
      <c r="G4" s="13" t="n">
        <f aca="false">D4/E4</f>
        <v>6.52173913043478</v>
      </c>
      <c r="H4" s="13" t="n">
        <f aca="false">D4/F4</f>
        <v>22.0588235294118</v>
      </c>
    </row>
    <row r="5" customFormat="false" ht="15" hidden="false" customHeight="false" outlineLevel="0" collapsed="false">
      <c r="A5" s="11" t="s">
        <v>27</v>
      </c>
      <c r="B5" s="11" t="s">
        <v>28</v>
      </c>
      <c r="C5" s="11" t="s">
        <v>29</v>
      </c>
      <c r="D5" s="12" t="n">
        <v>12700</v>
      </c>
      <c r="E5" s="12" t="n">
        <v>2670</v>
      </c>
      <c r="F5" s="12" t="n">
        <v>400</v>
      </c>
      <c r="G5" s="13" t="n">
        <f aca="false">D5/E5</f>
        <v>4.7565543071161</v>
      </c>
      <c r="H5" s="13" t="n">
        <f aca="false">D5/F5</f>
        <v>31.75</v>
      </c>
    </row>
    <row r="6" customFormat="false" ht="15" hidden="false" customHeight="false" outlineLevel="0" collapsed="false">
      <c r="A6" s="11" t="s">
        <v>27</v>
      </c>
      <c r="B6" s="11" t="s">
        <v>30</v>
      </c>
      <c r="C6" s="11" t="s">
        <v>31</v>
      </c>
      <c r="D6" s="12" t="n">
        <v>3600</v>
      </c>
      <c r="E6" s="12" t="n">
        <v>260</v>
      </c>
      <c r="F6" s="12" t="n">
        <v>180</v>
      </c>
      <c r="G6" s="13" t="n">
        <f aca="false">D6/E6</f>
        <v>13.8461538461538</v>
      </c>
      <c r="H6" s="13" t="n">
        <f aca="false">D6/F6</f>
        <v>20</v>
      </c>
    </row>
    <row r="7" customFormat="false" ht="15" hidden="false" customHeight="false" outlineLevel="0" collapsed="false">
      <c r="A7" s="11" t="s">
        <v>32</v>
      </c>
      <c r="B7" s="11" t="s">
        <v>33</v>
      </c>
      <c r="C7" s="11" t="s">
        <v>34</v>
      </c>
      <c r="D7" s="12" t="n">
        <v>300</v>
      </c>
      <c r="E7" s="12" t="n">
        <v>300</v>
      </c>
      <c r="F7" s="12" t="n">
        <v>40</v>
      </c>
      <c r="G7" s="13" t="n">
        <f aca="false">D7/E7</f>
        <v>1</v>
      </c>
      <c r="H7" s="13" t="n">
        <f aca="false">D7/F7</f>
        <v>7.5</v>
      </c>
    </row>
    <row r="8" customFormat="false" ht="15" hidden="false" customHeight="false" outlineLevel="0" collapsed="false">
      <c r="A8" s="11" t="s">
        <v>35</v>
      </c>
      <c r="B8" s="11" t="s">
        <v>36</v>
      </c>
      <c r="C8" s="11" t="s">
        <v>37</v>
      </c>
      <c r="D8" s="12" t="n">
        <v>4900</v>
      </c>
      <c r="E8" s="12" t="n">
        <v>1000</v>
      </c>
      <c r="F8" s="12" t="n">
        <v>220</v>
      </c>
      <c r="G8" s="13" t="n">
        <f aca="false">D8/E8</f>
        <v>4.9</v>
      </c>
      <c r="H8" s="13" t="n">
        <f aca="false">D8/F8</f>
        <v>22.2727272727273</v>
      </c>
    </row>
    <row r="9" customFormat="false" ht="15" hidden="false" customHeight="false" outlineLevel="0" collapsed="false">
      <c r="A9" s="14" t="s">
        <v>27</v>
      </c>
      <c r="B9" s="15" t="s">
        <v>25</v>
      </c>
      <c r="C9" s="15" t="s">
        <v>38</v>
      </c>
      <c r="D9" s="16" t="n">
        <v>68700</v>
      </c>
      <c r="E9" s="16" t="n">
        <v>8803</v>
      </c>
      <c r="F9" s="16" t="n">
        <v>3785</v>
      </c>
      <c r="G9" s="17" t="n">
        <f aca="false">D9/E9</f>
        <v>7.80415767352039</v>
      </c>
      <c r="H9" s="17" t="n">
        <f aca="false">D9/F9</f>
        <v>18.1505944517834</v>
      </c>
    </row>
    <row r="11" customFormat="false" ht="15" hidden="false" customHeight="false" outlineLevel="0" collapsed="false">
      <c r="A11" s="18" t="s">
        <v>39</v>
      </c>
      <c r="G11" s="19" t="n">
        <f aca="false">MEDIAN(G4:G8)</f>
        <v>4.9</v>
      </c>
      <c r="H11" s="19" t="n">
        <f aca="false">MEDIAN(H4:H8)</f>
        <v>22.0588235294118</v>
      </c>
    </row>
    <row r="12" customFormat="false" ht="15" hidden="false" customHeight="false" outlineLevel="0" collapsed="false">
      <c r="A12" s="18" t="s">
        <v>40</v>
      </c>
      <c r="G12" s="19" t="n">
        <f aca="false">AVERAGE(G4:G8)</f>
        <v>6.20488945674095</v>
      </c>
      <c r="H12" s="19" t="n">
        <f aca="false">AVERAGE(H4:H8)</f>
        <v>20.7163101604278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5" min="4" style="1" width="16"/>
    <col collapsed="false" customWidth="true" hidden="false" outlineLevel="0" max="6" min="6" style="1" width="14"/>
  </cols>
  <sheetData>
    <row r="1" customFormat="false" ht="31.5" hidden="false" customHeight="true" outlineLevel="0" collapsed="false">
      <c r="A1" s="2" t="s">
        <v>41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20" t="s">
        <v>42</v>
      </c>
    </row>
    <row r="4" customFormat="false" ht="15" hidden="false" customHeight="false" outlineLevel="0" collapsed="false">
      <c r="A4" s="6" t="s">
        <v>43</v>
      </c>
      <c r="B4" s="12" t="n">
        <v>8803</v>
      </c>
    </row>
    <row r="5" customFormat="false" ht="15" hidden="false" customHeight="false" outlineLevel="0" collapsed="false">
      <c r="A5" s="6" t="s">
        <v>44</v>
      </c>
      <c r="B5" s="12" t="n">
        <v>3785</v>
      </c>
    </row>
    <row r="6" customFormat="false" ht="15" hidden="false" customHeight="false" outlineLevel="0" collapsed="false">
      <c r="A6" s="6" t="s">
        <v>45</v>
      </c>
      <c r="B6" s="12" t="n">
        <v>6370</v>
      </c>
    </row>
    <row r="7" customFormat="false" ht="15" hidden="false" customHeight="false" outlineLevel="0" collapsed="false">
      <c r="A7" s="6" t="s">
        <v>46</v>
      </c>
      <c r="B7" s="21" t="n">
        <v>723</v>
      </c>
    </row>
    <row r="9" customFormat="false" ht="19.5" hidden="false" customHeight="true" outlineLevel="0" collapsed="false">
      <c r="A9" s="22" t="s">
        <v>47</v>
      </c>
      <c r="B9" s="22"/>
      <c r="C9" s="22"/>
      <c r="D9" s="22"/>
      <c r="E9" s="22"/>
      <c r="F9" s="22"/>
    </row>
    <row r="10" customFormat="false" ht="30" hidden="false" customHeight="true" outlineLevel="0" collapsed="false">
      <c r="A10" s="23" t="s">
        <v>48</v>
      </c>
      <c r="B10" s="23" t="s">
        <v>49</v>
      </c>
      <c r="C10" s="23" t="s">
        <v>50</v>
      </c>
      <c r="D10" s="23" t="s">
        <v>51</v>
      </c>
      <c r="E10" s="23" t="s">
        <v>52</v>
      </c>
      <c r="F10" s="23" t="s">
        <v>53</v>
      </c>
    </row>
    <row r="11" customFormat="false" ht="15" hidden="false" customHeight="false" outlineLevel="0" collapsed="false">
      <c r="A11" s="6" t="s">
        <v>54</v>
      </c>
      <c r="B11" s="13" t="n">
        <f aca="false">MIN(Transactions!G11,Transactions!G12)</f>
        <v>4.9</v>
      </c>
      <c r="C11" s="13" t="n">
        <f aca="false">MAX(Transactions!G11,Transactions!G12)</f>
        <v>6.20488945674095</v>
      </c>
      <c r="D11" s="24" t="n">
        <f aca="false">MIN(B11:C11)*$B$4+$B$6</f>
        <v>49504.7</v>
      </c>
      <c r="E11" s="24" t="n">
        <f aca="false">MAX(B11:C11)*$B$4+$B$6</f>
        <v>60991.6418876906</v>
      </c>
      <c r="F11" s="25" t="n">
        <f aca="false">AVERAGE(D11:E11)/$B$7</f>
        <v>76.4151741961899</v>
      </c>
    </row>
    <row r="12" customFormat="false" ht="15" hidden="false" customHeight="false" outlineLevel="0" collapsed="false">
      <c r="A12" s="6" t="s">
        <v>55</v>
      </c>
      <c r="B12" s="13" t="n">
        <f aca="false">MIN(Transactions!H11,Transactions!H12)</f>
        <v>20.7163101604278</v>
      </c>
      <c r="C12" s="13" t="n">
        <f aca="false">MAX(Transactions!H11,Transactions!H12)</f>
        <v>22.0588235294118</v>
      </c>
      <c r="D12" s="24" t="n">
        <f aca="false">MIN(B12:C12)*$B$5+$B$6</f>
        <v>84781.2339572192</v>
      </c>
      <c r="E12" s="24" t="n">
        <f aca="false">MAX(B12:C12)*$B$5+$B$6</f>
        <v>89862.6470588235</v>
      </c>
      <c r="F12" s="25" t="n">
        <f aca="false">AVERAGE(D12:E12)/$B$7</f>
        <v>120.777234450929</v>
      </c>
    </row>
    <row r="14" customFormat="false" ht="15" hidden="false" customHeight="false" outlineLevel="0" collapsed="false">
      <c r="A14" s="18" t="s">
        <v>56</v>
      </c>
      <c r="F14" s="26" t="n">
        <v>95</v>
      </c>
    </row>
    <row r="16" customFormat="false" ht="15" hidden="false" customHeight="false" outlineLevel="0" collapsed="false">
      <c r="A16" s="20" t="s">
        <v>57</v>
      </c>
    </row>
    <row r="17" customFormat="false" ht="15" hidden="false" customHeight="false" outlineLevel="0" collapsed="false">
      <c r="A17" s="6" t="s">
        <v>58</v>
      </c>
      <c r="B17" s="19" t="n">
        <f aca="false">Transactions!G9</f>
        <v>7.80415767352039</v>
      </c>
    </row>
    <row r="18" customFormat="false" ht="15" hidden="false" customHeight="false" outlineLevel="0" collapsed="false">
      <c r="A18" s="6" t="s">
        <v>59</v>
      </c>
      <c r="B18" s="19" t="n">
        <f aca="false">Transactions!H9</f>
        <v>18.1505944517834</v>
      </c>
    </row>
  </sheetData>
  <mergeCells count="2">
    <mergeCell ref="A1:F1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2026-08-01T00:09:02Z</dcterms:created>
  <dc:creator>openpyxl</dc:creator>
  <dc:description/>
  <dc:language>en-US</dc:language>
  <cp:lastModifiedBy/>
  <dcterms:modified xsi:type="dcterms:W3CDTF">2026-08-01T00:09:02Z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