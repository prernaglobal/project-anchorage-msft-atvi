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ources &amp; Uses" sheetId="3" state="visible" r:id="rId5"/>
    <sheet name="Purchase Price Allocation" sheetId="4" state="visible" r:id="rId6"/>
    <sheet name="Pro Forma Combination" sheetId="5" state="visible" r:id="rId7"/>
    <sheet name="Accretion-Dilu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<sst xmlns="http://schemas.openxmlformats.org/spreadsheetml/2006/main" count="109" uniqueCount="106">
  <si>
    <t xml:space="preserve">Merger &amp; Financial Model — Microsoft / Activision Blizzard</t>
  </si>
  <si>
    <t xml:space="preserve">Purpose</t>
  </si>
  <si>
    <t xml:space="preserve">Sources &amp; uses, purchase price allocation, pro forma income statement combination, and EPS accretion/dilution analysis for Microsoft's acquisition of Activision Blizzard.</t>
  </si>
  <si>
    <t xml:space="preserve">Tabs</t>
  </si>
  <si>
    <t xml:space="preserve">Assumptions</t>
  </si>
  <si>
    <t xml:space="preserve">Deal terms, financing mix, synergy phase-in, and rate assumptions</t>
  </si>
  <si>
    <t xml:space="preserve">Sources &amp; Uses</t>
  </si>
  <si>
    <t xml:space="preserve">Financing sources and uses of funds at closing</t>
  </si>
  <si>
    <t xml:space="preserve">Purchase Price Allocation</t>
  </si>
  <si>
    <t xml:space="preserve">Goodwill and intangible asset allocation (ties to Microsoft's actual disclosed PPA)</t>
  </si>
  <si>
    <t xml:space="preserve">Pro Forma Combination</t>
  </si>
  <si>
    <t xml:space="preserve">Combined income statement with purchase-accounting adjustments</t>
  </si>
  <si>
    <t xml:space="preserve">Accretion-Dilution</t>
  </si>
  <si>
    <t xml:space="preserve">Standalone vs. pro forma EPS comparison</t>
  </si>
  <si>
    <t xml:space="preserve">Color Legend</t>
  </si>
  <si>
    <t xml:space="preserve">Blue text</t>
  </si>
  <si>
    <t xml:space="preserve">Hardcoded input — edit here</t>
  </si>
  <si>
    <t xml:space="preserve">Black text</t>
  </si>
  <si>
    <t xml:space="preserve">Formula — do not hardcode</t>
  </si>
  <si>
    <t xml:space="preserve">Green text</t>
  </si>
  <si>
    <t xml:space="preserve">Link to another sheet</t>
  </si>
  <si>
    <t xml:space="preserve">Sources</t>
  </si>
  <si>
    <t xml:space="preserve">Actual purchase price allocation, closing consideration, and FY2024 pro forma figures per Microsoft's FY2024 Form 10-K. Standalone FY2022 financials per Microsoft and Activision Blizzard Form 10-K filings. Financing mix and synergy phase-in are illustrative modeling assumptions.</t>
  </si>
  <si>
    <t xml:space="preserve">Deal Assumptions</t>
  </si>
  <si>
    <t xml:space="preserve">Transaction Terms</t>
  </si>
  <si>
    <t xml:space="preserve">Offer price per share ($)</t>
  </si>
  <si>
    <t xml:space="preserve">Announced Jan. 18, 2022</t>
  </si>
  <si>
    <t xml:space="preserve">Fully diluted shares acquired, at closing (mn)</t>
  </si>
  <si>
    <t xml:space="preserve">Implied by $75.4bn total consideration ÷ $95.00 (10-K)</t>
  </si>
  <si>
    <t xml:space="preserve">Total purchase consideration ($mn)</t>
  </si>
  <si>
    <t xml:space="preserve">Offer price × diluted shares at closing</t>
  </si>
  <si>
    <t xml:space="preserve">Activision Blizzard cash acquired ($mn)</t>
  </si>
  <si>
    <t xml:space="preserve">Per Microsoft FY2024 10-K purchase price allocation</t>
  </si>
  <si>
    <t xml:space="preserve">Financing Mix</t>
  </si>
  <si>
    <t xml:space="preserve">Cash on hand used ($mn)</t>
  </si>
  <si>
    <t xml:space="preserve">Plug: balances to total uses (purchase price + fees) less new borrowings</t>
  </si>
  <si>
    <t xml:space="preserve">New short-term borrowings ($mn)</t>
  </si>
  <si>
    <t xml:space="preserve">Commercial paper issued at closing, per public reporting</t>
  </si>
  <si>
    <t xml:space="preserve">Total sources</t>
  </si>
  <si>
    <t xml:space="preserve">Interest rate on new short-term borrowings</t>
  </si>
  <si>
    <t xml:space="preserve">Foregone interest rate on cash used</t>
  </si>
  <si>
    <t xml:space="preserve">Purchase Accounting &amp; Synergies</t>
  </si>
  <si>
    <t xml:space="preserve">Acquired intangible assets ($mn)</t>
  </si>
  <si>
    <t xml:space="preserve">Per Microsoft FY2024 10-K PPA</t>
  </si>
  <si>
    <t xml:space="preserve">Blended amortization life (years)</t>
  </si>
  <si>
    <t xml:space="preserve">Pre-tax run-rate cost synergies ($mn)</t>
  </si>
  <si>
    <t xml:space="preserve">Illustrative; Microsoft has not disclosed a formal synergy target</t>
  </si>
  <si>
    <t xml:space="preserve">% of synergies realized in Year 1</t>
  </si>
  <si>
    <t xml:space="preserve">Marginal tax rate (for deal-related adjustments)</t>
  </si>
  <si>
    <t xml:space="preserve">Microsoft standalone effective tax rate (FY2022 actual)</t>
  </si>
  <si>
    <t xml:space="preserve">1 − ($72,700mn net income ÷ $83,400mn operating income), per Microsoft FY2022 10-K</t>
  </si>
  <si>
    <t xml:space="preserve">Sources &amp; Uses of Funds — At Closing (Oct. 13, 2023)</t>
  </si>
  <si>
    <t xml:space="preserve">Cash on hand</t>
  </si>
  <si>
    <t xml:space="preserve">New short-term borrowings</t>
  </si>
  <si>
    <t xml:space="preserve">Total Sources</t>
  </si>
  <si>
    <t xml:space="preserve">Uses</t>
  </si>
  <si>
    <t xml:space="preserve">Purchase of Activision Blizzard equity</t>
  </si>
  <si>
    <t xml:space="preserve">Estimated transaction fees &amp; expenses</t>
  </si>
  <si>
    <t xml:space="preserve">Total Uses</t>
  </si>
  <si>
    <t xml:space="preserve">Check: Sources − Uses (should equal zero)</t>
  </si>
  <si>
    <t xml:space="preserve">Purchase Price Allocation (Actual, per Microsoft FY2024 Form 10-K)</t>
  </si>
  <si>
    <t xml:space="preserve">Purchase Price Allocation ($ in millions)</t>
  </si>
  <si>
    <t xml:space="preserve">Cash and cash equivalents acquired</t>
  </si>
  <si>
    <t xml:space="preserve">Goodwill</t>
  </si>
  <si>
    <t xml:space="preserve">Intangible assets acquired</t>
  </si>
  <si>
    <t xml:space="preserve">Other assets</t>
  </si>
  <si>
    <t xml:space="preserve">Less: Long-term debt assumed</t>
  </si>
  <si>
    <t xml:space="preserve">Less: Long-term income taxes</t>
  </si>
  <si>
    <t xml:space="preserve">Less: Deferred income taxes</t>
  </si>
  <si>
    <t xml:space="preserve">Less: Other liabilities</t>
  </si>
  <si>
    <t xml:space="preserve">Total Purchase Price</t>
  </si>
  <si>
    <t xml:space="preserve">Check vs. Assumptions tab total consideration</t>
  </si>
  <si>
    <t xml:space="preserve">Acquired Intangible Assets Detail</t>
  </si>
  <si>
    <t xml:space="preserve">Category</t>
  </si>
  <si>
    <t xml:space="preserve">Fair Value ($mn)</t>
  </si>
  <si>
    <t xml:space="preserve">Useful Life (yrs)</t>
  </si>
  <si>
    <t xml:space="preserve">Marketing-related (trademarks, franchise brands)</t>
  </si>
  <si>
    <t xml:space="preserve">Technology-based</t>
  </si>
  <si>
    <t xml:space="preserve">Customer-related</t>
  </si>
  <si>
    <t xml:space="preserve">Total</t>
  </si>
  <si>
    <t xml:space="preserve">Pro Forma Income Statement Combination (Illustrative, Full-Year Basis)</t>
  </si>
  <si>
    <t xml:space="preserve">($ in millions)</t>
  </si>
  <si>
    <t xml:space="preserve">Microsoft Standalone</t>
  </si>
  <si>
    <t xml:space="preserve">Activision Blizzard Standalone</t>
  </si>
  <si>
    <t xml:space="preserve">Adjustments</t>
  </si>
  <si>
    <t xml:space="preserve">Pro Forma Combined</t>
  </si>
  <si>
    <t xml:space="preserve">Revenue</t>
  </si>
  <si>
    <t xml:space="preserve">EBITDA</t>
  </si>
  <si>
    <t xml:space="preserve">Less: D&amp;A (standalone)</t>
  </si>
  <si>
    <t xml:space="preserve">Less: Incremental intangible amortization</t>
  </si>
  <si>
    <t xml:space="preserve">EBIT</t>
  </si>
  <si>
    <t xml:space="preserve">Less: Incremental interest on new debt</t>
  </si>
  <si>
    <t xml:space="preserve">Less: Foregone interest income on cash used</t>
  </si>
  <si>
    <t xml:space="preserve">Pre-tax income</t>
  </si>
  <si>
    <t xml:space="preserve">Less: Income taxes</t>
  </si>
  <si>
    <t xml:space="preserve">Net Income</t>
  </si>
  <si>
    <t xml:space="preserve">EPS Accretion / (Dilution) Analysis</t>
  </si>
  <si>
    <t xml:space="preserve">Note: as an all-cash transaction, Microsoft's diluted share count is unchanged pro forma — 100% of the EPS impact flows through net income.</t>
  </si>
  <si>
    <t xml:space="preserve">Standalone vs. Pro Forma</t>
  </si>
  <si>
    <t xml:space="preserve">Net income ($mn)</t>
  </si>
  <si>
    <t xml:space="preserve">Diluted shares outstanding (mn)</t>
  </si>
  <si>
    <t xml:space="preserve">Diluted EPS ($)</t>
  </si>
  <si>
    <t xml:space="preserve">EPS Accretion / (Dilution) — $</t>
  </si>
  <si>
    <t xml:space="preserve">EPS Accretion / (Dilution) — %</t>
  </si>
  <si>
    <t xml:space="preserve">Interpretation</t>
  </si>
  <si>
    <t xml:space="preserve">This illustrative model reflects Year-1 run-rate dynamics (incremental intangible amortization, financing cost, and partial synergy realization). Microsoft's own FY2024 disclosure showed a near-neutral GAAP EPS impact through the first full fiscal year post-close (Section 9.4 of the report) — consistent with the purchase-accounting drag illustrated in this model moderating over time as amortization of shorter-lived intangibles burns off and synergies ramp toward the run-rate assumption above.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</si>
</sst>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#,##0"/>
    <numFmt numFmtId="167" formatCode="\$#,##0.0;&quot;($&quot;#,##0.0\);\-"/>
    <numFmt numFmtId="168" formatCode="0.0%;\(0.0%\);\-"/>
    <numFmt numFmtId="169" formatCode="0"/>
    <numFmt numFmtId="170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0A2342"/>
      <name val="Arial"/>
      <family val="0"/>
      <charset val="1"/>
    </font>
    <font>
      <sz val="10.5"/>
      <color rgb="FF000000"/>
      <name val="Arial"/>
      <family val="0"/>
      <charset val="1"/>
    </font>
    <font>
      <b val="true"/>
      <sz val="10.5"/>
      <color rgb="FF2F80ED"/>
      <name val="Arial"/>
      <family val="0"/>
      <charset val="1"/>
    </font>
    <font>
      <b val="true"/>
      <sz val="10.5"/>
      <color rgb="FF0000FF"/>
      <name val="Arial"/>
      <family val="0"/>
      <charset val="1"/>
    </font>
    <font>
      <b val="true"/>
      <sz val="10.5"/>
      <color rgb="FF000000"/>
      <name val="Arial"/>
      <family val="0"/>
      <charset val="1"/>
    </font>
    <font>
      <b val="true"/>
      <sz val="10.5"/>
      <color rgb="FF008000"/>
      <name val="Arial"/>
      <family val="0"/>
      <charset val="1"/>
    </font>
    <font>
      <i val="true"/>
      <sz val="9.5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.5"/>
      <color rgb="FF008000"/>
      <name val="Arial"/>
      <family val="0"/>
      <charset val="1"/>
    </font>
    <font>
      <i val="true"/>
      <sz val="10.5"/>
      <color rgb="FF666666"/>
      <name val="Arial"/>
      <family val="0"/>
      <charset val="1"/>
    </font>
    <font>
      <i val="true"/>
      <sz val="10.5"/>
      <color rgb="FF000000"/>
      <name val="Arial"/>
      <family val="0"/>
      <charset val="1"/>
    </font>
    <font>
      <b val="true"/>
      <sz val="10.5"/>
      <color rgb="FF0A234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1"/>
      <color rgb="FF0A2342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2342"/>
        <bgColor rgb="FF003300"/>
      </patternFill>
    </fill>
    <fill>
      <patternFill patternType="solid">
        <fgColor rgb="FF2F80ED"/>
        <bgColor rgb="FF0066CC"/>
      </patternFill>
    </fill>
    <fill>
      <patternFill patternType="solid">
        <fgColor rgb="FFF3F5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3F5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80ED"/>
      <rgbColor rgb="FF33CCCC"/>
      <rgbColor rgb="FF99CC00"/>
      <rgbColor rgb="FFFFCC00"/>
      <rgbColor rgb="FFFF9900"/>
      <rgbColor rgb="FFFF6600"/>
      <rgbColor rgb="FF666666"/>
      <rgbColor rgb="FF969696"/>
      <rgbColor rgb="FF0A234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3" t="s">
        <v>1</v>
      </c>
    </row>
    <row r="4" customFormat="false" ht="30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5" t="s">
        <v>4</v>
      </c>
      <c r="B7" s="6" t="s">
        <v>5</v>
      </c>
    </row>
    <row r="8" customFormat="false" ht="15" hidden="false" customHeight="false" outlineLevel="0" collapsed="false">
      <c r="A8" s="5" t="s">
        <v>6</v>
      </c>
      <c r="B8" s="6" t="s">
        <v>7</v>
      </c>
    </row>
    <row r="9" customFormat="false" ht="15" hidden="false" customHeight="false" outlineLevel="0" collapsed="false">
      <c r="A9" s="5" t="s">
        <v>8</v>
      </c>
      <c r="B9" s="6" t="s">
        <v>9</v>
      </c>
    </row>
    <row r="10" customFormat="false" ht="15" hidden="false" customHeight="false" outlineLevel="0" collapsed="false">
      <c r="A10" s="5" t="s">
        <v>10</v>
      </c>
      <c r="B10" s="6" t="s">
        <v>11</v>
      </c>
    </row>
    <row r="11" customFormat="false" ht="15" hidden="false" customHeight="false" outlineLevel="0" collapsed="false">
      <c r="A11" s="5" t="s">
        <v>12</v>
      </c>
      <c r="B11" s="6" t="s">
        <v>13</v>
      </c>
    </row>
    <row r="13" customFormat="false" ht="15" hidden="false" customHeight="false" outlineLevel="0" collapsed="false">
      <c r="A13" s="3" t="s">
        <v>14</v>
      </c>
    </row>
    <row r="14" customFormat="false" ht="15" hidden="false" customHeight="false" outlineLevel="0" collapsed="false">
      <c r="A14" s="7" t="s">
        <v>15</v>
      </c>
      <c r="B14" s="6" t="s">
        <v>16</v>
      </c>
    </row>
    <row r="15" customFormat="false" ht="15" hidden="false" customHeight="false" outlineLevel="0" collapsed="false">
      <c r="A15" s="8" t="s">
        <v>17</v>
      </c>
      <c r="B15" s="6" t="s">
        <v>18</v>
      </c>
    </row>
    <row r="16" customFormat="false" ht="15" hidden="false" customHeight="false" outlineLevel="0" collapsed="false">
      <c r="A16" s="9" t="s">
        <v>19</v>
      </c>
      <c r="B16" s="6" t="s">
        <v>20</v>
      </c>
    </row>
    <row r="18" customFormat="false" ht="15" hidden="false" customHeight="false" outlineLevel="0" collapsed="false">
      <c r="A18" s="3" t="s">
        <v>21</v>
      </c>
    </row>
    <row r="19" customFormat="false" ht="45" hidden="false" customHeight="true" outlineLevel="0" collapsed="false">
      <c r="A19" s="10" t="s">
        <v>22</v>
      </c>
      <c r="B19" s="10"/>
      <c r="C19" s="10"/>
      <c r="D19" s="10"/>
      <c r="E19" s="10"/>
      <c r="F19" s="10"/>
      <c r="G19" s="10"/>
      <c r="H19" s="10"/>
    </row>
  </sheetData>
  <mergeCells count="3">
    <mergeCell ref="A1:H1"/>
    <mergeCell ref="A4:H4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60"/>
  </cols>
  <sheetData>
    <row r="1" customFormat="false" ht="31.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</row>
    <row r="3" customFormat="false" ht="19.5" hidden="false" customHeight="true" outlineLevel="0" collapsed="false">
      <c r="A3" s="11" t="s">
        <v>24</v>
      </c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6" t="s">
        <v>25</v>
      </c>
      <c r="B4" s="12" t="n">
        <v>95</v>
      </c>
      <c r="C4" s="13" t="s">
        <v>26</v>
      </c>
    </row>
    <row r="5" customFormat="false" ht="15" hidden="false" customHeight="false" outlineLevel="0" collapsed="false">
      <c r="A5" s="6" t="s">
        <v>27</v>
      </c>
      <c r="B5" s="14" t="n">
        <v>793.7684</v>
      </c>
      <c r="C5" s="13" t="s">
        <v>28</v>
      </c>
    </row>
    <row r="6" customFormat="false" ht="15" hidden="false" customHeight="false" outlineLevel="0" collapsed="false">
      <c r="A6" s="6" t="s">
        <v>29</v>
      </c>
      <c r="B6" s="15" t="n">
        <f aca="false">B4*B5</f>
        <v>75407.998</v>
      </c>
      <c r="C6" s="13" t="s">
        <v>30</v>
      </c>
    </row>
    <row r="7" customFormat="false" ht="15" hidden="false" customHeight="false" outlineLevel="0" collapsed="false">
      <c r="A7" s="6" t="s">
        <v>31</v>
      </c>
      <c r="B7" s="16" t="n">
        <v>12976</v>
      </c>
      <c r="C7" s="13" t="s">
        <v>32</v>
      </c>
    </row>
    <row r="9" customFormat="false" ht="19.5" hidden="false" customHeight="true" outlineLevel="0" collapsed="false">
      <c r="A9" s="11" t="s">
        <v>33</v>
      </c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6" t="s">
        <v>34</v>
      </c>
      <c r="B10" s="15" t="n">
        <f aca="false">B6+'Sources &amp; Uses'!B10-B11</f>
        <v>48707.998</v>
      </c>
      <c r="C10" s="13" t="s">
        <v>35</v>
      </c>
    </row>
    <row r="11" customFormat="false" ht="15" hidden="false" customHeight="false" outlineLevel="0" collapsed="false">
      <c r="A11" s="6" t="s">
        <v>36</v>
      </c>
      <c r="B11" s="16" t="n">
        <v>27000</v>
      </c>
      <c r="C11" s="13" t="s">
        <v>37</v>
      </c>
    </row>
    <row r="12" customFormat="false" ht="15" hidden="false" customHeight="false" outlineLevel="0" collapsed="false">
      <c r="A12" s="8" t="s">
        <v>38</v>
      </c>
      <c r="B12" s="15" t="n">
        <f aca="false">B10+B11</f>
        <v>75707.998</v>
      </c>
    </row>
    <row r="13" customFormat="false" ht="15" hidden="false" customHeight="false" outlineLevel="0" collapsed="false">
      <c r="A13" s="6" t="s">
        <v>39</v>
      </c>
      <c r="B13" s="17" t="n">
        <v>0.045</v>
      </c>
    </row>
    <row r="14" customFormat="false" ht="15" hidden="false" customHeight="false" outlineLevel="0" collapsed="false">
      <c r="A14" s="6" t="s">
        <v>40</v>
      </c>
      <c r="B14" s="17" t="n">
        <v>0.015</v>
      </c>
    </row>
    <row r="16" customFormat="false" ht="19.5" hidden="false" customHeight="true" outlineLevel="0" collapsed="false">
      <c r="A16" s="11" t="s">
        <v>41</v>
      </c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6" t="s">
        <v>42</v>
      </c>
      <c r="B17" s="16" t="n">
        <v>21969</v>
      </c>
      <c r="C17" s="13" t="s">
        <v>43</v>
      </c>
    </row>
    <row r="18" customFormat="false" ht="15" hidden="false" customHeight="false" outlineLevel="0" collapsed="false">
      <c r="A18" s="6" t="s">
        <v>44</v>
      </c>
      <c r="B18" s="14" t="n">
        <v>15</v>
      </c>
    </row>
    <row r="19" customFormat="false" ht="15" hidden="false" customHeight="false" outlineLevel="0" collapsed="false">
      <c r="A19" s="6" t="s">
        <v>45</v>
      </c>
      <c r="B19" s="16" t="n">
        <v>300</v>
      </c>
      <c r="C19" s="13" t="s">
        <v>46</v>
      </c>
    </row>
    <row r="20" customFormat="false" ht="15" hidden="false" customHeight="false" outlineLevel="0" collapsed="false">
      <c r="A20" s="6" t="s">
        <v>47</v>
      </c>
      <c r="B20" s="17" t="n">
        <v>0.4</v>
      </c>
    </row>
    <row r="21" customFormat="false" ht="15" hidden="false" customHeight="false" outlineLevel="0" collapsed="false">
      <c r="A21" s="6" t="s">
        <v>48</v>
      </c>
      <c r="B21" s="17" t="n">
        <v>0.21</v>
      </c>
    </row>
    <row r="22" customFormat="false" ht="15" hidden="false" customHeight="false" outlineLevel="0" collapsed="false">
      <c r="A22" s="6" t="s">
        <v>49</v>
      </c>
      <c r="B22" s="17" t="n">
        <v>0.1283</v>
      </c>
      <c r="C22" s="13" t="s">
        <v>50</v>
      </c>
    </row>
  </sheetData>
  <mergeCells count="4">
    <mergeCell ref="A1:H1"/>
    <mergeCell ref="A3:H3"/>
    <mergeCell ref="A9:H9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45"/>
  </cols>
  <sheetData>
    <row r="1" customFormat="false" ht="31.5" hidden="false" customHeight="true" outlineLevel="0" collapsed="false">
      <c r="A1" s="2" t="s">
        <v>51</v>
      </c>
      <c r="B1" s="2"/>
      <c r="C1" s="2"/>
      <c r="D1" s="2"/>
      <c r="E1" s="2"/>
      <c r="F1" s="2"/>
      <c r="G1" s="2"/>
      <c r="H1" s="2"/>
    </row>
    <row r="3" customFormat="false" ht="19.5" hidden="false" customHeight="true" outlineLevel="0" collapsed="false">
      <c r="A3" s="11" t="s">
        <v>21</v>
      </c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6" t="s">
        <v>52</v>
      </c>
      <c r="B4" s="18" t="n">
        <f aca="false">Assumptions!B10</f>
        <v>48707.998</v>
      </c>
    </row>
    <row r="5" customFormat="false" ht="15" hidden="false" customHeight="false" outlineLevel="0" collapsed="false">
      <c r="A5" s="6" t="s">
        <v>53</v>
      </c>
      <c r="B5" s="18" t="n">
        <f aca="false">Assumptions!B11</f>
        <v>27000</v>
      </c>
    </row>
    <row r="6" customFormat="false" ht="15" hidden="false" customHeight="false" outlineLevel="0" collapsed="false">
      <c r="A6" s="8" t="s">
        <v>54</v>
      </c>
      <c r="B6" s="15" t="n">
        <f aca="false">SUM(B4:B5)</f>
        <v>75707.998</v>
      </c>
    </row>
    <row r="8" customFormat="false" ht="19.5" hidden="false" customHeight="true" outlineLevel="0" collapsed="false">
      <c r="A8" s="11" t="s">
        <v>55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6" t="s">
        <v>56</v>
      </c>
      <c r="B9" s="18" t="n">
        <f aca="false">Assumptions!B4*Assumptions!B5</f>
        <v>75407.998</v>
      </c>
    </row>
    <row r="10" customFormat="false" ht="15" hidden="false" customHeight="false" outlineLevel="0" collapsed="false">
      <c r="A10" s="6" t="s">
        <v>57</v>
      </c>
      <c r="B10" s="16" t="n">
        <v>300</v>
      </c>
    </row>
    <row r="11" customFormat="false" ht="15" hidden="false" customHeight="false" outlineLevel="0" collapsed="false">
      <c r="A11" s="8" t="s">
        <v>58</v>
      </c>
      <c r="B11" s="15" t="n">
        <f aca="false">SUM(B8:B10)</f>
        <v>75707.998</v>
      </c>
    </row>
    <row r="13" customFormat="false" ht="15" hidden="false" customHeight="false" outlineLevel="0" collapsed="false">
      <c r="A13" s="19" t="s">
        <v>59</v>
      </c>
      <c r="B13" s="20" t="n">
        <f aca="false">B6-B11</f>
        <v>0</v>
      </c>
    </row>
  </sheetData>
  <mergeCells count="3">
    <mergeCell ref="A1:H1"/>
    <mergeCell ref="A3:H3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45"/>
  </cols>
  <sheetData>
    <row r="1" customFormat="false" ht="31.5" hidden="false" customHeight="true" outlineLevel="0" collapsed="false">
      <c r="A1" s="2" t="s">
        <v>60</v>
      </c>
      <c r="B1" s="2"/>
      <c r="C1" s="2"/>
      <c r="D1" s="2"/>
      <c r="E1" s="2"/>
      <c r="F1" s="2"/>
      <c r="G1" s="2"/>
      <c r="H1" s="2"/>
    </row>
    <row r="3" customFormat="false" ht="19.5" hidden="false" customHeight="true" outlineLevel="0" collapsed="false">
      <c r="A3" s="11" t="s">
        <v>61</v>
      </c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6" t="s">
        <v>62</v>
      </c>
      <c r="B4" s="16" t="n">
        <v>12976</v>
      </c>
    </row>
    <row r="5" customFormat="false" ht="15" hidden="false" customHeight="false" outlineLevel="0" collapsed="false">
      <c r="A5" s="6" t="s">
        <v>63</v>
      </c>
      <c r="B5" s="16" t="n">
        <v>50969</v>
      </c>
    </row>
    <row r="6" customFormat="false" ht="15" hidden="false" customHeight="false" outlineLevel="0" collapsed="false">
      <c r="A6" s="6" t="s">
        <v>64</v>
      </c>
      <c r="B6" s="16" t="n">
        <v>21969</v>
      </c>
    </row>
    <row r="7" customFormat="false" ht="15" hidden="false" customHeight="false" outlineLevel="0" collapsed="false">
      <c r="A7" s="6" t="s">
        <v>65</v>
      </c>
      <c r="B7" s="16" t="n">
        <v>2501</v>
      </c>
    </row>
    <row r="8" customFormat="false" ht="15" hidden="false" customHeight="false" outlineLevel="0" collapsed="false">
      <c r="A8" s="6" t="s">
        <v>66</v>
      </c>
      <c r="B8" s="16" t="n">
        <v>-2799</v>
      </c>
    </row>
    <row r="9" customFormat="false" ht="15" hidden="false" customHeight="false" outlineLevel="0" collapsed="false">
      <c r="A9" s="6" t="s">
        <v>67</v>
      </c>
      <c r="B9" s="16" t="n">
        <v>-1914</v>
      </c>
    </row>
    <row r="10" customFormat="false" ht="15" hidden="false" customHeight="false" outlineLevel="0" collapsed="false">
      <c r="A10" s="6" t="s">
        <v>68</v>
      </c>
      <c r="B10" s="16" t="n">
        <v>-4677</v>
      </c>
    </row>
    <row r="11" customFormat="false" ht="15" hidden="false" customHeight="false" outlineLevel="0" collapsed="false">
      <c r="A11" s="6" t="s">
        <v>69</v>
      </c>
      <c r="B11" s="16" t="n">
        <v>-3617</v>
      </c>
    </row>
    <row r="12" customFormat="false" ht="15" hidden="false" customHeight="false" outlineLevel="0" collapsed="false">
      <c r="A12" s="21" t="s">
        <v>70</v>
      </c>
      <c r="B12" s="22" t="n">
        <f aca="false">SUM(B4:B11)</f>
        <v>75408</v>
      </c>
    </row>
    <row r="14" customFormat="false" ht="15" hidden="false" customHeight="false" outlineLevel="0" collapsed="false">
      <c r="A14" s="19" t="s">
        <v>71</v>
      </c>
      <c r="B14" s="20" t="n">
        <f aca="false">B12-Assumptions!B6</f>
        <v>0.0019999999931315</v>
      </c>
    </row>
    <row r="17" customFormat="false" ht="19.5" hidden="false" customHeight="true" outlineLevel="0" collapsed="false">
      <c r="A17" s="11" t="s">
        <v>72</v>
      </c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23" t="s">
        <v>73</v>
      </c>
      <c r="B18" s="23" t="s">
        <v>74</v>
      </c>
      <c r="C18" s="23" t="s">
        <v>75</v>
      </c>
    </row>
    <row r="19" customFormat="false" ht="15" hidden="false" customHeight="false" outlineLevel="0" collapsed="false">
      <c r="A19" s="6" t="s">
        <v>76</v>
      </c>
      <c r="B19" s="16" t="n">
        <v>11619</v>
      </c>
      <c r="C19" s="24" t="n">
        <v>24</v>
      </c>
    </row>
    <row r="20" customFormat="false" ht="15" hidden="false" customHeight="false" outlineLevel="0" collapsed="false">
      <c r="A20" s="6" t="s">
        <v>77</v>
      </c>
      <c r="B20" s="16" t="n">
        <v>9689</v>
      </c>
      <c r="C20" s="24" t="n">
        <v>4</v>
      </c>
    </row>
    <row r="21" customFormat="false" ht="15" hidden="false" customHeight="false" outlineLevel="0" collapsed="false">
      <c r="A21" s="6" t="s">
        <v>78</v>
      </c>
      <c r="B21" s="16" t="n">
        <v>661</v>
      </c>
      <c r="C21" s="24" t="n">
        <v>4</v>
      </c>
    </row>
    <row r="22" customFormat="false" ht="15" hidden="false" customHeight="false" outlineLevel="0" collapsed="false">
      <c r="A22" s="8" t="s">
        <v>79</v>
      </c>
      <c r="B22" s="15" t="n">
        <f aca="false">SUM(B19:B21)</f>
        <v>21969</v>
      </c>
      <c r="C22" s="25" t="n">
        <f aca="false">SUMPRODUCT(B19:B21,C19:C21)/B22</f>
        <v>14.5776321179844</v>
      </c>
    </row>
  </sheetData>
  <mergeCells count="3">
    <mergeCell ref="A1:H1"/>
    <mergeCell ref="A3:H3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5"/>
  </cols>
  <sheetData>
    <row r="1" customFormat="false" ht="31.5" hidden="false" customHeight="true" outlineLevel="0" collapsed="false">
      <c r="A1" s="2" t="s">
        <v>80</v>
      </c>
      <c r="B1" s="2"/>
      <c r="C1" s="2"/>
      <c r="D1" s="2"/>
      <c r="E1" s="2"/>
      <c r="F1" s="2"/>
    </row>
    <row r="3" customFormat="false" ht="30" hidden="false" customHeight="true" outlineLevel="0" collapsed="false">
      <c r="A3" s="8" t="s">
        <v>81</v>
      </c>
      <c r="B3" s="26" t="s">
        <v>82</v>
      </c>
      <c r="C3" s="26" t="s">
        <v>83</v>
      </c>
      <c r="D3" s="26" t="s">
        <v>84</v>
      </c>
      <c r="E3" s="26" t="s">
        <v>85</v>
      </c>
    </row>
    <row r="4" customFormat="false" ht="15" hidden="false" customHeight="false" outlineLevel="0" collapsed="false">
      <c r="A4" s="8" t="s">
        <v>86</v>
      </c>
      <c r="B4" s="16" t="n">
        <v>198270</v>
      </c>
      <c r="C4" s="16" t="n">
        <v>7530</v>
      </c>
      <c r="D4" s="27" t="n">
        <f aca="false">Assumptions!B19*0</f>
        <v>0</v>
      </c>
      <c r="E4" s="15" t="n">
        <f aca="false">SUM(B4:D4)</f>
        <v>205800</v>
      </c>
    </row>
    <row r="5" customFormat="false" ht="15" hidden="false" customHeight="false" outlineLevel="0" collapsed="false">
      <c r="A5" s="6" t="s">
        <v>87</v>
      </c>
      <c r="B5" s="16" t="n">
        <v>97860</v>
      </c>
      <c r="C5" s="16" t="n">
        <v>2450</v>
      </c>
      <c r="D5" s="27" t="n">
        <f aca="false">Assumptions!B19*Assumptions!B20</f>
        <v>120</v>
      </c>
      <c r="E5" s="15" t="n">
        <f aca="false">SUM(B5:D5)</f>
        <v>100430</v>
      </c>
    </row>
    <row r="6" customFormat="false" ht="15" hidden="false" customHeight="false" outlineLevel="0" collapsed="false">
      <c r="A6" s="6" t="s">
        <v>88</v>
      </c>
      <c r="B6" s="16" t="n">
        <v>-14460</v>
      </c>
      <c r="C6" s="16" t="n">
        <v>-360</v>
      </c>
      <c r="D6" s="27" t="n">
        <f aca="false">0</f>
        <v>0</v>
      </c>
      <c r="E6" s="15" t="n">
        <f aca="false">SUM(B6:D6)</f>
        <v>-14820</v>
      </c>
    </row>
    <row r="7" customFormat="false" ht="15" hidden="false" customHeight="false" outlineLevel="0" collapsed="false">
      <c r="A7" s="6" t="s">
        <v>89</v>
      </c>
      <c r="B7" s="16" t="n">
        <v>0</v>
      </c>
      <c r="C7" s="16" t="n">
        <v>0</v>
      </c>
      <c r="D7" s="27" t="n">
        <f aca="false">-Assumptions!B17/Assumptions!B18</f>
        <v>-1464.6</v>
      </c>
      <c r="E7" s="15" t="n">
        <f aca="false">SUM(B7:D7)</f>
        <v>-1464.6</v>
      </c>
    </row>
    <row r="8" customFormat="false" ht="15" hidden="false" customHeight="false" outlineLevel="0" collapsed="false">
      <c r="A8" s="8" t="s">
        <v>90</v>
      </c>
      <c r="B8" s="15" t="n">
        <f aca="false">B5+B6</f>
        <v>83400</v>
      </c>
      <c r="C8" s="15" t="n">
        <f aca="false">C5+C6</f>
        <v>2090</v>
      </c>
      <c r="D8" s="15" t="n">
        <f aca="false">D5+D6+D7</f>
        <v>-1344.6</v>
      </c>
      <c r="E8" s="15" t="n">
        <f aca="false">SUM(B8:D8)</f>
        <v>84145.4</v>
      </c>
    </row>
    <row r="9" customFormat="false" ht="15" hidden="false" customHeight="false" outlineLevel="0" collapsed="false">
      <c r="A9" s="6" t="s">
        <v>91</v>
      </c>
      <c r="B9" s="16" t="n">
        <v>0</v>
      </c>
      <c r="C9" s="16" t="n">
        <v>0</v>
      </c>
      <c r="D9" s="27" t="n">
        <f aca="false">-Assumptions!B11*Assumptions!B13</f>
        <v>-1215</v>
      </c>
      <c r="E9" s="15" t="n">
        <f aca="false">SUM(B9:D9)</f>
        <v>-1215</v>
      </c>
    </row>
    <row r="10" customFormat="false" ht="15" hidden="false" customHeight="false" outlineLevel="0" collapsed="false">
      <c r="A10" s="6" t="s">
        <v>92</v>
      </c>
      <c r="B10" s="16" t="n">
        <v>0</v>
      </c>
      <c r="C10" s="16" t="n">
        <v>0</v>
      </c>
      <c r="D10" s="27" t="n">
        <f aca="false">-Assumptions!B10*Assumptions!B14</f>
        <v>-730.61997</v>
      </c>
      <c r="E10" s="15" t="n">
        <f aca="false">SUM(B10:D10)</f>
        <v>-730.61997</v>
      </c>
    </row>
    <row r="11" customFormat="false" ht="15" hidden="false" customHeight="false" outlineLevel="0" collapsed="false">
      <c r="A11" s="8" t="s">
        <v>93</v>
      </c>
      <c r="B11" s="15" t="n">
        <f aca="false">B8+B9+B10</f>
        <v>83400</v>
      </c>
      <c r="C11" s="15" t="n">
        <f aca="false">C8+C9+C10</f>
        <v>2090</v>
      </c>
      <c r="D11" s="15" t="n">
        <f aca="false">D8+D9+D10</f>
        <v>-3290.21997</v>
      </c>
      <c r="E11" s="15" t="n">
        <f aca="false">SUM(B11:D11)</f>
        <v>82199.78003</v>
      </c>
    </row>
    <row r="12" customFormat="false" ht="15" hidden="false" customHeight="false" outlineLevel="0" collapsed="false">
      <c r="A12" s="6" t="s">
        <v>94</v>
      </c>
      <c r="B12" s="27" t="n">
        <f aca="false">-B11*Assumptions!B22</f>
        <v>-10700.22</v>
      </c>
      <c r="C12" s="27" t="n">
        <f aca="false">-C11*Assumptions!B21</f>
        <v>-438.9</v>
      </c>
      <c r="D12" s="27" t="n">
        <f aca="false">-D11*Assumptions!B21</f>
        <v>690.9461937</v>
      </c>
      <c r="E12" s="15" t="n">
        <f aca="false">SUM(B12:D12)</f>
        <v>-10448.1738063</v>
      </c>
    </row>
    <row r="13" customFormat="false" ht="15" hidden="false" customHeight="false" outlineLevel="0" collapsed="false">
      <c r="A13" s="21" t="s">
        <v>95</v>
      </c>
      <c r="B13" s="28" t="n">
        <f aca="false">B11+B12</f>
        <v>72699.78</v>
      </c>
      <c r="C13" s="28" t="n">
        <f aca="false">C11+C12</f>
        <v>1651.1</v>
      </c>
      <c r="D13" s="28" t="n">
        <f aca="false">D11+D12</f>
        <v>-2599.2737763</v>
      </c>
      <c r="E13" s="28" t="n">
        <f aca="false">SUM(B13:D13)</f>
        <v>71751.6062237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</cols>
  <sheetData>
    <row r="1" customFormat="false" ht="31.5" hidden="false" customHeight="true" outlineLevel="0" collapsed="false">
      <c r="A1" s="2" t="s">
        <v>96</v>
      </c>
      <c r="B1" s="2"/>
      <c r="C1" s="2"/>
      <c r="D1" s="2"/>
    </row>
    <row r="3" customFormat="false" ht="27.75" hidden="false" customHeight="true" outlineLevel="0" collapsed="false">
      <c r="A3" s="10" t="s">
        <v>97</v>
      </c>
      <c r="B3" s="10"/>
      <c r="C3" s="10"/>
      <c r="D3" s="10"/>
    </row>
    <row r="5" customFormat="false" ht="19.5" hidden="false" customHeight="true" outlineLevel="0" collapsed="false">
      <c r="A5" s="11" t="s">
        <v>98</v>
      </c>
      <c r="B5" s="11"/>
      <c r="C5" s="11"/>
      <c r="D5" s="11"/>
    </row>
    <row r="6" customFormat="false" ht="23.85" hidden="false" customHeight="false" outlineLevel="0" collapsed="false">
      <c r="A6" s="8"/>
      <c r="B6" s="26" t="s">
        <v>82</v>
      </c>
      <c r="C6" s="26" t="s">
        <v>85</v>
      </c>
    </row>
    <row r="7" customFormat="false" ht="15" hidden="false" customHeight="false" outlineLevel="0" collapsed="false">
      <c r="A7" s="6" t="s">
        <v>99</v>
      </c>
      <c r="B7" s="18" t="n">
        <f aca="false">'Pro Forma Combination'!B13</f>
        <v>72699.78</v>
      </c>
      <c r="C7" s="18" t="n">
        <f aca="false">'Pro Forma Combination'!E13</f>
        <v>71751.6062237</v>
      </c>
    </row>
    <row r="8" customFormat="false" ht="15" hidden="false" customHeight="false" outlineLevel="0" collapsed="false">
      <c r="A8" s="6" t="s">
        <v>100</v>
      </c>
      <c r="B8" s="14" t="n">
        <v>7534</v>
      </c>
      <c r="C8" s="29" t="n">
        <f aca="false">B8</f>
        <v>7534</v>
      </c>
    </row>
    <row r="9" customFormat="false" ht="15" hidden="false" customHeight="false" outlineLevel="0" collapsed="false">
      <c r="A9" s="21" t="s">
        <v>101</v>
      </c>
      <c r="B9" s="30" t="n">
        <f aca="false">B7/B8</f>
        <v>9.64955933103265</v>
      </c>
      <c r="C9" s="30" t="n">
        <f aca="false">C7/C8</f>
        <v>9.52370669281922</v>
      </c>
    </row>
    <row r="11" customFormat="false" ht="15" hidden="false" customHeight="false" outlineLevel="0" collapsed="false">
      <c r="A11" s="8" t="s">
        <v>102</v>
      </c>
      <c r="B11" s="31" t="n">
        <f aca="false">C9-B9</f>
        <v>-0.125852638213432</v>
      </c>
    </row>
    <row r="12" customFormat="false" ht="15" hidden="false" customHeight="false" outlineLevel="0" collapsed="false">
      <c r="A12" s="8" t="s">
        <v>103</v>
      </c>
      <c r="B12" s="32" t="n">
        <f aca="false">C9/B9-1</f>
        <v>-0.0130423197470474</v>
      </c>
    </row>
    <row r="15" customFormat="false" ht="15" hidden="false" customHeight="false" outlineLevel="0" collapsed="false">
      <c r="A15" s="3" t="s">
        <v>104</v>
      </c>
    </row>
    <row r="16" customFormat="false" ht="75" hidden="false" customHeight="true" outlineLevel="0" collapsed="false">
      <c r="A16" s="33" t="s">
        <v>105</v>
      </c>
      <c r="B16" s="33"/>
      <c r="C16" s="33"/>
      <c r="D16" s="33"/>
    </row>
  </sheetData>
  <mergeCells count="4">
    <mergeCell ref="A1:D1"/>
    <mergeCell ref="A3:D3"/>
    <mergeCell ref="A5:D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2026-08-01T00:08:14Z</dcterms:created>
  <dc:creator>openpyxl</dc:creator>
  <dc:description/>
  <dc:language>en-US</dc:language>
  <cp:lastModifiedBy/>
  <dcterms:modified xsi:type="dcterms:W3CDTF">2026-08-01T00:08:14Z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